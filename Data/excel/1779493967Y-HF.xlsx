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oiz\Desktop\"/>
    </mc:Choice>
  </mc:AlternateContent>
  <xr:revisionPtr revIDLastSave="0" documentId="8_{82A093FC-156F-4C35-9C51-BA925BF84F2D}" xr6:coauthVersionLast="36" xr6:coauthVersionMax="36" xr10:uidLastSave="{00000000-0000-0000-0000-000000000000}"/>
  <bookViews>
    <workbookView xWindow="-108" yWindow="-108" windowWidth="23256" windowHeight="13896" xr2:uid="{C0B3AA60-0C1A-41A8-94DF-B63FC0946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6" i="1" l="1"/>
  <c r="L55" i="1"/>
  <c r="P44" i="1"/>
  <c r="P47" i="1" s="1"/>
  <c r="P49" i="1" s="1"/>
  <c r="P43" i="1"/>
  <c r="D23" i="1"/>
  <c r="D22" i="1"/>
  <c r="D21" i="1"/>
  <c r="D20" i="1"/>
  <c r="D19" i="1"/>
  <c r="D26" i="1" s="1"/>
  <c r="J16" i="1"/>
  <c r="L11" i="1"/>
  <c r="F11" i="1"/>
  <c r="N9" i="1"/>
  <c r="H9" i="1"/>
  <c r="D8" i="1"/>
  <c r="P7" i="1"/>
  <c r="L7" i="1"/>
  <c r="L45" i="1" s="1"/>
  <c r="B5" i="1"/>
  <c r="J28" i="1" l="1"/>
</calcChain>
</file>

<file path=xl/sharedStrings.xml><?xml version="1.0" encoding="utf-8"?>
<sst xmlns="http://schemas.openxmlformats.org/spreadsheetml/2006/main" count="160" uniqueCount="70">
  <si>
    <t>Identity Designing</t>
  </si>
  <si>
    <t>Social Media Management</t>
  </si>
  <si>
    <t>Website Designing &amp; Development</t>
  </si>
  <si>
    <t>Brand Guideline &amp;  Graphics Designing</t>
  </si>
  <si>
    <t>App Designing &amp; Development</t>
  </si>
  <si>
    <t>Penetration Testing (Web)</t>
  </si>
  <si>
    <t>Dev Operations</t>
  </si>
  <si>
    <t>Penetration Testing (App)</t>
  </si>
  <si>
    <t>. Brand Identity/Guidline Design</t>
  </si>
  <si>
    <t>. SM Calender (1 Month)</t>
  </si>
  <si>
    <t>. UI/UX Design (Figma)</t>
  </si>
  <si>
    <t>. Prototype Development</t>
  </si>
  <si>
    <t>. Web/App Application Penetration Testing</t>
  </si>
  <si>
    <t xml:space="preserve">. Implement CI/CD pipelines </t>
  </si>
  <si>
    <t>. Logo Design (6 Variations)</t>
  </si>
  <si>
    <t>. SM Post Designs</t>
  </si>
  <si>
    <t>. Logo Design</t>
  </si>
  <si>
    <t>. App UI/UX Design (Figma)</t>
  </si>
  <si>
    <t>. Social Engineering Testing</t>
  </si>
  <si>
    <t>. Containerization</t>
  </si>
  <si>
    <t>. Animated Logo</t>
  </si>
  <si>
    <t>. Social Media Posting</t>
  </si>
  <si>
    <t>. Domain &amp; Hosting</t>
  </si>
  <si>
    <t>. Backend Development</t>
  </si>
  <si>
    <t>. Red Team Exercises</t>
  </si>
  <si>
    <t>. Monitoring and Logging</t>
  </si>
  <si>
    <t>. SM Accounts Creation</t>
  </si>
  <si>
    <t>. SSL</t>
  </si>
  <si>
    <t>. Stationery Design (LetterHead, Cards etc...)</t>
  </si>
  <si>
    <t>. Frontend Development</t>
  </si>
  <si>
    <t>. Compliance and Regulatory Testing (PCI etc..)</t>
  </si>
  <si>
    <t>. Security Automation</t>
  </si>
  <si>
    <t>. Copyrighting (Content)</t>
  </si>
  <si>
    <t>Chat Integration / User ($24)</t>
  </si>
  <si>
    <t>. Social Media Assets</t>
  </si>
  <si>
    <t>. Quality Assurance and Testing</t>
  </si>
  <si>
    <t xml:space="preserve">. Reporting and Remediation </t>
  </si>
  <si>
    <t>. Load Balancing</t>
  </si>
  <si>
    <t>. Monthly Reporting and Insights</t>
  </si>
  <si>
    <t>. Packaging Design</t>
  </si>
  <si>
    <t>. Deployment and App Store Submission</t>
  </si>
  <si>
    <t>. Disaster Recovery and High Availability</t>
  </si>
  <si>
    <t>10 days</t>
  </si>
  <si>
    <t>. Social Media Posts</t>
  </si>
  <si>
    <t>. Print and Digital Collateral (Flyers, Brochures etc..)</t>
  </si>
  <si>
    <t>. Security and Compliance</t>
  </si>
  <si>
    <t xml:space="preserve">. Virtual Training and Consultation </t>
  </si>
  <si>
    <t>1 month</t>
  </si>
  <si>
    <t>. Webmaster tool (Basic)</t>
  </si>
  <si>
    <t>Three Time</t>
  </si>
  <si>
    <t>. Analytics (Basic)</t>
  </si>
  <si>
    <t>1 Month</t>
  </si>
  <si>
    <t>Description</t>
  </si>
  <si>
    <t>Number</t>
  </si>
  <si>
    <t>Rate</t>
  </si>
  <si>
    <t>Amount</t>
  </si>
  <si>
    <t>Total:</t>
  </si>
  <si>
    <t>Invoice to Be From astros Chase</t>
  </si>
  <si>
    <t>Emirates NBD Bank PJSC</t>
  </si>
  <si>
    <t>EBILAEADXXX</t>
  </si>
  <si>
    <t>AE120260001025874489102</t>
  </si>
  <si>
    <t>Desertbyte Solutions FZCO</t>
  </si>
  <si>
    <t>Empire Heights Building</t>
  </si>
  <si>
    <t>office 9f-A-02</t>
  </si>
  <si>
    <t>Dubai</t>
  </si>
  <si>
    <t>business bay</t>
  </si>
  <si>
    <t>.</t>
  </si>
  <si>
    <t>Note</t>
  </si>
  <si>
    <t>Invoice will contain three contents</t>
  </si>
  <si>
    <t>which will be devided as 30% 37% and 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</si>
</sst>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color rgb="FF41404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6" fontId="0" fillId="2" borderId="0" xfId="0" applyNumberFormat="1" applyFill="1"/>
    <xf numFmtId="6" fontId="0" fillId="0" borderId="0" xfId="0" applyNumberFormat="1"/>
    <xf numFmtId="0" fontId="0" fillId="3" borderId="0" xfId="0" applyFill="1"/>
    <xf numFmtId="6" fontId="0" fillId="4" borderId="0" xfId="0" applyNumberFormat="1" applyFill="1"/>
    <xf numFmtId="6" fontId="2" fillId="5" borderId="0" xfId="0" applyNumberFormat="1" applyFont="1" applyFill="1"/>
    <xf numFmtId="6" fontId="0" fillId="3" borderId="0" xfId="0" applyNumberFormat="1" applyFill="1"/>
    <xf numFmtId="0" fontId="0" fillId="2" borderId="0" xfId="0" applyFill="1"/>
    <xf numFmtId="0" fontId="2" fillId="5" borderId="0" xfId="0" applyFont="1" applyFill="1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6" fontId="2" fillId="2" borderId="0" xfId="0" applyNumberFormat="1" applyFont="1" applyFill="1"/>
    <xf numFmtId="0" fontId="0" fillId="0" borderId="3" xfId="0" applyBorder="1"/>
    <xf numFmtId="0" fontId="0" fillId="2" borderId="3" xfId="0" applyFill="1" applyBorder="1"/>
    <xf numFmtId="44" fontId="0" fillId="0" borderId="3" xfId="1" applyFont="1" applyBorder="1"/>
    <xf numFmtId="44" fontId="0" fillId="2" borderId="3" xfId="1" applyFont="1" applyFill="1" applyBorder="1"/>
    <xf numFmtId="44" fontId="0" fillId="2" borderId="7" xfId="1" applyFont="1" applyFill="1" applyBorder="1"/>
    <xf numFmtId="44" fontId="0" fillId="0" borderId="0" xfId="1" applyFont="1" applyBorder="1"/>
    <xf numFmtId="6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quotePrefix="1" applyFont="1"/>
    <xf numFmtId="0" fontId="0" fillId="0" borderId="0" xfId="0" quotePrefix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7590-C898-4F7A-A3E8-516D245DF50B}">
  <dimension ref="A1:P106"/>
  <sheetViews>
    <sheetView tabSelected="1" zoomScale="70" zoomScaleNormal="70" workbookViewId="0">
      <selection activeCell="A4" sqref="A4"/>
    </sheetView>
  </sheetViews>
  <sheetFormatPr defaultRowHeight="13.8"/>
  <cols>
    <col min="1" max="1" width="27" bestFit="1" customWidth="1"/>
    <col min="2" max="2" width="7.59765625" style="9" bestFit="1" customWidth="1"/>
    <col min="3" max="3" width="27.69921875" bestFit="1" customWidth="1"/>
    <col min="4" max="4" width="11.09765625" style="9" bestFit="1" customWidth="1"/>
    <col min="5" max="5" width="30.59765625" bestFit="1" customWidth="1"/>
    <col min="6" max="6" width="7.796875" style="9" bestFit="1" customWidth="1"/>
    <col min="7" max="7" width="43.3984375" bestFit="1" customWidth="1"/>
    <col min="8" max="8" width="7.796875" bestFit="1" customWidth="1"/>
    <col min="9" max="9" width="33.796875" bestFit="1" customWidth="1"/>
    <col min="10" max="10" width="8.59765625" style="9" bestFit="1" customWidth="1"/>
    <col min="11" max="11" width="39.59765625" bestFit="1" customWidth="1"/>
    <col min="13" max="13" width="33.8984375" bestFit="1" customWidth="1"/>
    <col min="15" max="15" width="39.59765625" bestFit="1" customWidth="1"/>
  </cols>
  <sheetData>
    <row r="1" spans="1:16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1"/>
      <c r="I1" s="1" t="s">
        <v>4</v>
      </c>
      <c r="J1" s="2"/>
      <c r="K1" s="1" t="s">
        <v>5</v>
      </c>
      <c r="L1" s="1"/>
      <c r="M1" s="1" t="s">
        <v>6</v>
      </c>
      <c r="N1" s="1"/>
      <c r="O1" s="1" t="s">
        <v>7</v>
      </c>
      <c r="P1" s="1"/>
    </row>
    <row r="2" spans="1:16">
      <c r="A2" t="s">
        <v>8</v>
      </c>
      <c r="B2" s="3">
        <v>500</v>
      </c>
      <c r="C2" t="s">
        <v>9</v>
      </c>
      <c r="D2" s="3">
        <v>100</v>
      </c>
      <c r="E2" t="s">
        <v>10</v>
      </c>
      <c r="F2" s="3">
        <v>500</v>
      </c>
      <c r="G2" t="s">
        <v>8</v>
      </c>
      <c r="H2" s="4">
        <v>500</v>
      </c>
      <c r="I2" s="5" t="s">
        <v>11</v>
      </c>
      <c r="J2" s="6">
        <v>1000</v>
      </c>
      <c r="K2" t="s">
        <v>12</v>
      </c>
      <c r="L2" s="4">
        <v>4000</v>
      </c>
      <c r="M2" t="s">
        <v>13</v>
      </c>
      <c r="N2" s="3">
        <v>5000</v>
      </c>
      <c r="O2" t="s">
        <v>12</v>
      </c>
      <c r="P2" s="4">
        <v>6000</v>
      </c>
    </row>
    <row r="3" spans="1:16">
      <c r="A3" t="s">
        <v>14</v>
      </c>
      <c r="B3" s="3">
        <v>200</v>
      </c>
      <c r="C3" t="s">
        <v>15</v>
      </c>
      <c r="D3" s="3">
        <v>200</v>
      </c>
      <c r="E3" t="s">
        <v>16</v>
      </c>
      <c r="F3" s="3">
        <v>200</v>
      </c>
      <c r="G3" t="s">
        <v>14</v>
      </c>
      <c r="H3" s="4">
        <v>200</v>
      </c>
      <c r="I3" s="5" t="s">
        <v>17</v>
      </c>
      <c r="J3" s="6">
        <v>5000</v>
      </c>
      <c r="K3" t="s">
        <v>18</v>
      </c>
      <c r="L3" s="4">
        <v>2000</v>
      </c>
      <c r="M3" t="s">
        <v>19</v>
      </c>
      <c r="N3" s="4">
        <v>10000</v>
      </c>
      <c r="O3" t="s">
        <v>18</v>
      </c>
      <c r="P3" s="4">
        <v>2000</v>
      </c>
    </row>
    <row r="4" spans="1:16">
      <c r="A4" t="s">
        <v>20</v>
      </c>
      <c r="B4" s="3">
        <v>200</v>
      </c>
      <c r="C4" t="s">
        <v>21</v>
      </c>
      <c r="D4" s="3">
        <v>500</v>
      </c>
      <c r="E4" t="s">
        <v>22</v>
      </c>
      <c r="F4" s="3">
        <v>500</v>
      </c>
      <c r="G4" t="s">
        <v>20</v>
      </c>
      <c r="H4" s="4">
        <v>200</v>
      </c>
      <c r="I4" t="s">
        <v>23</v>
      </c>
      <c r="J4" s="6">
        <v>10000</v>
      </c>
      <c r="K4" t="s">
        <v>24</v>
      </c>
      <c r="L4" s="4">
        <v>5000</v>
      </c>
      <c r="M4" t="s">
        <v>25</v>
      </c>
      <c r="N4" s="3">
        <v>4500</v>
      </c>
      <c r="O4" t="s">
        <v>24</v>
      </c>
      <c r="P4" s="4">
        <v>6500</v>
      </c>
    </row>
    <row r="5" spans="1:16">
      <c r="B5" s="7">
        <f>SUM(B2:B4)</f>
        <v>900</v>
      </c>
      <c r="C5" t="s">
        <v>26</v>
      </c>
      <c r="D5" s="3">
        <v>200</v>
      </c>
      <c r="E5" t="s">
        <v>27</v>
      </c>
      <c r="F5" s="3">
        <v>25</v>
      </c>
      <c r="G5" t="s">
        <v>28</v>
      </c>
      <c r="H5" s="4">
        <v>300</v>
      </c>
      <c r="I5" t="s">
        <v>29</v>
      </c>
      <c r="J5" s="8">
        <v>5000</v>
      </c>
      <c r="K5" t="s">
        <v>30</v>
      </c>
      <c r="L5" s="4">
        <v>5000</v>
      </c>
      <c r="M5" t="s">
        <v>31</v>
      </c>
      <c r="N5" s="4">
        <v>10000</v>
      </c>
      <c r="O5" t="s">
        <v>30</v>
      </c>
      <c r="P5" s="4">
        <v>5000</v>
      </c>
    </row>
    <row r="6" spans="1:16">
      <c r="C6" t="s">
        <v>32</v>
      </c>
      <c r="D6" s="3">
        <v>500</v>
      </c>
      <c r="E6" t="s">
        <v>33</v>
      </c>
      <c r="F6" s="3">
        <v>24</v>
      </c>
      <c r="G6" t="s">
        <v>34</v>
      </c>
      <c r="H6" s="4">
        <v>200</v>
      </c>
      <c r="I6" t="s">
        <v>35</v>
      </c>
      <c r="J6" s="8">
        <v>3000</v>
      </c>
      <c r="K6" t="s">
        <v>36</v>
      </c>
      <c r="L6" s="4">
        <v>2000</v>
      </c>
      <c r="M6" t="s">
        <v>37</v>
      </c>
      <c r="N6" s="3">
        <v>5000</v>
      </c>
      <c r="O6" t="s">
        <v>36</v>
      </c>
      <c r="P6" s="4">
        <v>2000</v>
      </c>
    </row>
    <row r="7" spans="1:16">
      <c r="C7" t="s">
        <v>38</v>
      </c>
      <c r="D7" s="3">
        <v>100</v>
      </c>
      <c r="E7" t="s">
        <v>32</v>
      </c>
      <c r="F7" s="3">
        <v>500</v>
      </c>
      <c r="G7" t="s">
        <v>39</v>
      </c>
      <c r="H7" s="4">
        <v>500</v>
      </c>
      <c r="I7" s="5" t="s">
        <v>40</v>
      </c>
      <c r="J7" s="6">
        <v>1000</v>
      </c>
      <c r="L7" s="7">
        <f>SUM(L2:L6)</f>
        <v>18000</v>
      </c>
      <c r="M7" t="s">
        <v>41</v>
      </c>
      <c r="N7" s="4">
        <v>5000</v>
      </c>
      <c r="P7" s="7">
        <f>SUM(P2:P6)</f>
        <v>21500</v>
      </c>
    </row>
    <row r="8" spans="1:16">
      <c r="A8" t="s">
        <v>42</v>
      </c>
      <c r="D8" s="7">
        <f>SUM(D2:D7)</f>
        <v>1600</v>
      </c>
      <c r="E8" t="s">
        <v>43</v>
      </c>
      <c r="F8" s="3">
        <v>200</v>
      </c>
      <c r="G8" t="s">
        <v>44</v>
      </c>
      <c r="H8" s="4">
        <v>500</v>
      </c>
      <c r="I8" t="s">
        <v>45</v>
      </c>
      <c r="J8" s="8">
        <v>5000</v>
      </c>
      <c r="M8" t="s">
        <v>46</v>
      </c>
      <c r="N8" s="4">
        <v>2500</v>
      </c>
      <c r="P8" s="4"/>
    </row>
    <row r="9" spans="1:16">
      <c r="C9" t="s">
        <v>47</v>
      </c>
      <c r="E9" t="s">
        <v>48</v>
      </c>
      <c r="F9" s="3">
        <v>100</v>
      </c>
      <c r="H9" s="7">
        <f>SUM(H2:H8)</f>
        <v>2400</v>
      </c>
      <c r="I9" t="s">
        <v>16</v>
      </c>
      <c r="J9" s="3">
        <v>200</v>
      </c>
      <c r="N9" s="10">
        <f>SUM(N2:N8)</f>
        <v>42000</v>
      </c>
      <c r="O9" t="s">
        <v>49</v>
      </c>
    </row>
    <row r="10" spans="1:16">
      <c r="E10" t="s">
        <v>50</v>
      </c>
      <c r="F10" s="3">
        <v>100</v>
      </c>
      <c r="H10" s="4"/>
      <c r="I10" t="s">
        <v>22</v>
      </c>
      <c r="J10" s="8">
        <v>500</v>
      </c>
    </row>
    <row r="11" spans="1:16">
      <c r="F11" s="7">
        <f>SUM(F2:F10)</f>
        <v>2149</v>
      </c>
      <c r="I11" t="s">
        <v>27</v>
      </c>
      <c r="J11" s="3">
        <v>25</v>
      </c>
      <c r="L11">
        <f>15000+3812</f>
        <v>18812</v>
      </c>
    </row>
    <row r="12" spans="1:16">
      <c r="E12" t="s">
        <v>51</v>
      </c>
      <c r="G12" t="s">
        <v>51</v>
      </c>
      <c r="I12" t="s">
        <v>32</v>
      </c>
      <c r="J12" s="6">
        <v>500</v>
      </c>
    </row>
    <row r="13" spans="1:16">
      <c r="I13" t="s">
        <v>43</v>
      </c>
      <c r="J13" s="3">
        <v>200</v>
      </c>
    </row>
    <row r="14" spans="1:16">
      <c r="I14" t="s">
        <v>48</v>
      </c>
      <c r="J14" s="3">
        <v>100</v>
      </c>
    </row>
    <row r="15" spans="1:16">
      <c r="I15" t="s">
        <v>50</v>
      </c>
      <c r="J15" s="3">
        <v>100</v>
      </c>
    </row>
    <row r="16" spans="1:16">
      <c r="J16" s="7">
        <f>SUM(J2:J15)</f>
        <v>31625</v>
      </c>
    </row>
    <row r="17" spans="1:10" ht="14.4" hidden="1" thickBot="1">
      <c r="A17" s="11" t="s">
        <v>52</v>
      </c>
      <c r="B17" s="12" t="s">
        <v>53</v>
      </c>
      <c r="C17" s="11" t="s">
        <v>54</v>
      </c>
      <c r="D17" s="12" t="s">
        <v>55</v>
      </c>
      <c r="J17" s="13"/>
    </row>
    <row r="18" spans="1:10" hidden="1"/>
    <row r="19" spans="1:10" hidden="1">
      <c r="A19" s="14" t="s">
        <v>14</v>
      </c>
      <c r="B19" s="15">
        <v>10</v>
      </c>
      <c r="C19" s="16">
        <v>200</v>
      </c>
      <c r="D19" s="17">
        <f>B19*C19</f>
        <v>2000</v>
      </c>
    </row>
    <row r="20" spans="1:10" hidden="1">
      <c r="A20" s="14" t="s">
        <v>21</v>
      </c>
      <c r="B20" s="15">
        <v>11</v>
      </c>
      <c r="C20" s="16">
        <v>500</v>
      </c>
      <c r="D20" s="17">
        <f>B20*C20</f>
        <v>5500</v>
      </c>
      <c r="I20" s="1" t="s">
        <v>4</v>
      </c>
      <c r="J20" s="2"/>
    </row>
    <row r="21" spans="1:10" hidden="1">
      <c r="A21" s="14" t="s">
        <v>32</v>
      </c>
      <c r="B21" s="15">
        <v>7</v>
      </c>
      <c r="C21" s="16">
        <v>500</v>
      </c>
      <c r="D21" s="17">
        <f>B21*C21</f>
        <v>3500</v>
      </c>
      <c r="I21" t="s">
        <v>17</v>
      </c>
      <c r="J21" s="8">
        <v>5000</v>
      </c>
    </row>
    <row r="22" spans="1:10" hidden="1">
      <c r="A22" s="14" t="s">
        <v>35</v>
      </c>
      <c r="B22" s="15">
        <v>3</v>
      </c>
      <c r="C22" s="16">
        <v>3000</v>
      </c>
      <c r="D22" s="17">
        <f>B22*C22</f>
        <v>9000</v>
      </c>
      <c r="I22" t="s">
        <v>23</v>
      </c>
      <c r="J22" s="8">
        <v>10000</v>
      </c>
    </row>
    <row r="23" spans="1:10" hidden="1">
      <c r="A23" s="14" t="s">
        <v>22</v>
      </c>
      <c r="B23" s="15">
        <v>5</v>
      </c>
      <c r="C23" s="16">
        <v>500</v>
      </c>
      <c r="D23" s="17">
        <f>B23*C23</f>
        <v>2500</v>
      </c>
      <c r="I23" t="s">
        <v>29</v>
      </c>
      <c r="J23" s="8">
        <v>5000</v>
      </c>
    </row>
    <row r="24" spans="1:10" hidden="1">
      <c r="I24" t="s">
        <v>35</v>
      </c>
      <c r="J24" s="8">
        <v>3000</v>
      </c>
    </row>
    <row r="25" spans="1:10" hidden="1">
      <c r="I25" t="s">
        <v>45</v>
      </c>
      <c r="J25" s="8">
        <v>5000</v>
      </c>
    </row>
    <row r="26" spans="1:10" ht="14.4" hidden="1" thickBot="1">
      <c r="A26" s="26" t="s">
        <v>56</v>
      </c>
      <c r="B26" s="27"/>
      <c r="C26" s="28"/>
      <c r="D26" s="18">
        <f>SUM(D19:D25)</f>
        <v>22500</v>
      </c>
      <c r="I26" t="s">
        <v>22</v>
      </c>
      <c r="J26" s="8">
        <v>500</v>
      </c>
    </row>
    <row r="27" spans="1:10" hidden="1"/>
    <row r="28" spans="1:10" hidden="1">
      <c r="J28" s="13">
        <f ca="1">SUM(J21:J34)</f>
        <v>28500</v>
      </c>
    </row>
    <row r="29" spans="1:10" ht="14.4" hidden="1" thickBot="1">
      <c r="A29" s="11" t="s">
        <v>52</v>
      </c>
      <c r="B29" s="12" t="s">
        <v>53</v>
      </c>
      <c r="C29" s="11" t="s">
        <v>54</v>
      </c>
      <c r="D29" s="12" t="s">
        <v>55</v>
      </c>
    </row>
    <row r="30" spans="1:10" hidden="1">
      <c r="A30" s="1" t="s">
        <v>0</v>
      </c>
      <c r="J30" s="3"/>
    </row>
    <row r="31" spans="1:10" hidden="1">
      <c r="A31" t="s">
        <v>8</v>
      </c>
      <c r="B31" s="15">
        <v>1</v>
      </c>
      <c r="C31" s="16">
        <v>200</v>
      </c>
      <c r="D31" s="3">
        <v>500</v>
      </c>
      <c r="J31" s="3"/>
    </row>
    <row r="32" spans="1:10" hidden="1">
      <c r="A32" t="s">
        <v>14</v>
      </c>
      <c r="B32" s="15">
        <v>1</v>
      </c>
      <c r="C32" s="16">
        <v>500</v>
      </c>
      <c r="D32" s="3">
        <v>200</v>
      </c>
      <c r="J32" s="3"/>
    </row>
    <row r="33" spans="1:16" hidden="1">
      <c r="A33" t="s">
        <v>20</v>
      </c>
      <c r="B33" s="15">
        <v>1</v>
      </c>
      <c r="C33" s="16">
        <v>500</v>
      </c>
      <c r="D33" s="3">
        <v>200</v>
      </c>
      <c r="J33" s="3"/>
    </row>
    <row r="34" spans="1:16" hidden="1">
      <c r="A34" s="1" t="s">
        <v>1</v>
      </c>
      <c r="C34" s="19"/>
      <c r="D34" s="3"/>
      <c r="J34" s="3"/>
    </row>
    <row r="35" spans="1:16" hidden="1">
      <c r="A35" t="s">
        <v>9</v>
      </c>
      <c r="B35" s="15">
        <v>1</v>
      </c>
      <c r="C35" s="3">
        <v>100</v>
      </c>
      <c r="D35" s="3">
        <v>100</v>
      </c>
      <c r="O35" s="1" t="s">
        <v>3</v>
      </c>
      <c r="P35" s="1"/>
    </row>
    <row r="36" spans="1:16" hidden="1">
      <c r="A36" t="s">
        <v>15</v>
      </c>
      <c r="B36" s="15">
        <v>1</v>
      </c>
      <c r="C36" s="3">
        <v>200</v>
      </c>
      <c r="D36" s="3">
        <v>200</v>
      </c>
      <c r="O36" t="s">
        <v>8</v>
      </c>
      <c r="P36" s="4">
        <v>500</v>
      </c>
    </row>
    <row r="37" spans="1:16" hidden="1">
      <c r="A37" t="s">
        <v>21</v>
      </c>
      <c r="B37" s="15">
        <v>1</v>
      </c>
      <c r="C37" s="3">
        <v>500</v>
      </c>
      <c r="D37" s="3">
        <v>500</v>
      </c>
      <c r="O37" t="s">
        <v>14</v>
      </c>
      <c r="P37" s="4">
        <v>200</v>
      </c>
    </row>
    <row r="38" spans="1:16" hidden="1">
      <c r="A38" t="s">
        <v>26</v>
      </c>
      <c r="B38" s="15">
        <v>1</v>
      </c>
      <c r="C38" s="3">
        <v>200</v>
      </c>
      <c r="D38" s="3">
        <v>200</v>
      </c>
      <c r="O38" t="s">
        <v>20</v>
      </c>
      <c r="P38" s="4">
        <v>200</v>
      </c>
    </row>
    <row r="39" spans="1:16" hidden="1">
      <c r="A39" t="s">
        <v>32</v>
      </c>
      <c r="B39" s="15">
        <v>1</v>
      </c>
      <c r="C39" s="3">
        <v>500</v>
      </c>
      <c r="D39" s="3">
        <v>500</v>
      </c>
      <c r="K39" s="1" t="s">
        <v>6</v>
      </c>
      <c r="O39" t="s">
        <v>28</v>
      </c>
      <c r="P39" s="4">
        <v>300</v>
      </c>
    </row>
    <row r="40" spans="1:16" hidden="1">
      <c r="A40" t="s">
        <v>38</v>
      </c>
      <c r="B40" s="15">
        <v>1</v>
      </c>
      <c r="C40" s="3">
        <v>100</v>
      </c>
      <c r="D40" s="3">
        <v>100</v>
      </c>
      <c r="O40" t="s">
        <v>34</v>
      </c>
      <c r="P40" s="4">
        <v>200</v>
      </c>
    </row>
    <row r="41" spans="1:16" hidden="1">
      <c r="A41" s="1" t="s">
        <v>2</v>
      </c>
      <c r="C41" s="3"/>
      <c r="D41" s="3"/>
      <c r="K41" t="s">
        <v>37</v>
      </c>
      <c r="L41" s="4">
        <v>5000</v>
      </c>
      <c r="O41" t="s">
        <v>39</v>
      </c>
      <c r="P41" s="4">
        <v>500</v>
      </c>
    </row>
    <row r="42" spans="1:16" hidden="1">
      <c r="A42" t="s">
        <v>10</v>
      </c>
      <c r="B42" s="15">
        <v>1</v>
      </c>
      <c r="C42" s="3">
        <v>500</v>
      </c>
      <c r="D42" s="3">
        <v>500</v>
      </c>
      <c r="K42" t="s">
        <v>46</v>
      </c>
      <c r="L42" s="4">
        <v>2500</v>
      </c>
      <c r="O42" t="s">
        <v>44</v>
      </c>
      <c r="P42" s="4">
        <v>500</v>
      </c>
    </row>
    <row r="43" spans="1:16" hidden="1">
      <c r="A43" t="s">
        <v>16</v>
      </c>
      <c r="B43" s="15">
        <v>1</v>
      </c>
      <c r="C43" s="3">
        <v>200</v>
      </c>
      <c r="D43" s="3">
        <v>200</v>
      </c>
      <c r="K43" t="s">
        <v>25</v>
      </c>
      <c r="L43" s="4">
        <v>4500</v>
      </c>
      <c r="P43" s="20">
        <f>SUM(P36:P42)</f>
        <v>2400</v>
      </c>
    </row>
    <row r="44" spans="1:16" hidden="1">
      <c r="A44" t="s">
        <v>22</v>
      </c>
      <c r="B44" s="15">
        <v>1</v>
      </c>
      <c r="C44" s="3">
        <v>500</v>
      </c>
      <c r="D44" s="3">
        <v>500</v>
      </c>
      <c r="O44" t="s">
        <v>49</v>
      </c>
      <c r="P44" s="3">
        <f>+P43*3</f>
        <v>7200</v>
      </c>
    </row>
    <row r="45" spans="1:16" hidden="1">
      <c r="A45" t="s">
        <v>27</v>
      </c>
      <c r="B45" s="15">
        <v>1</v>
      </c>
      <c r="C45" s="3">
        <v>25</v>
      </c>
      <c r="D45" s="3">
        <v>25</v>
      </c>
      <c r="L45" s="20">
        <f>SUM(L7:L44)</f>
        <v>48812</v>
      </c>
      <c r="P45" s="13"/>
    </row>
    <row r="46" spans="1:16" hidden="1">
      <c r="A46" t="s">
        <v>33</v>
      </c>
      <c r="B46" s="15">
        <v>1</v>
      </c>
      <c r="C46" s="3">
        <v>24</v>
      </c>
      <c r="D46" s="3">
        <v>24</v>
      </c>
      <c r="K46" s="21"/>
      <c r="L46" s="20"/>
    </row>
    <row r="47" spans="1:16" hidden="1">
      <c r="A47" t="s">
        <v>32</v>
      </c>
      <c r="B47" s="15">
        <v>1</v>
      </c>
      <c r="C47" s="3">
        <v>500</v>
      </c>
      <c r="D47" s="3">
        <v>500</v>
      </c>
      <c r="P47" s="4">
        <f>+P9+P44</f>
        <v>7200</v>
      </c>
    </row>
    <row r="48" spans="1:16" hidden="1">
      <c r="A48" t="s">
        <v>43</v>
      </c>
      <c r="B48" s="15">
        <v>1</v>
      </c>
      <c r="C48" s="3">
        <v>200</v>
      </c>
      <c r="D48" s="3">
        <v>200</v>
      </c>
    </row>
    <row r="49" spans="1:16" hidden="1">
      <c r="A49" t="s">
        <v>48</v>
      </c>
      <c r="B49" s="15">
        <v>1</v>
      </c>
      <c r="C49" s="3">
        <v>100</v>
      </c>
      <c r="D49" s="3">
        <v>100</v>
      </c>
      <c r="O49" t="s">
        <v>57</v>
      </c>
      <c r="P49" s="4">
        <f>+P47-P48+P7</f>
        <v>28700</v>
      </c>
    </row>
    <row r="50" spans="1:16" hidden="1">
      <c r="A50" t="s">
        <v>50</v>
      </c>
      <c r="B50" s="15">
        <v>1</v>
      </c>
      <c r="C50" s="3">
        <v>100</v>
      </c>
      <c r="D50" s="3">
        <v>100</v>
      </c>
    </row>
    <row r="51" spans="1:16" hidden="1">
      <c r="A51" t="s">
        <v>11</v>
      </c>
      <c r="B51" s="15">
        <v>1</v>
      </c>
      <c r="C51" s="3"/>
      <c r="D51" s="3">
        <v>1000</v>
      </c>
    </row>
    <row r="52" spans="1:16" hidden="1">
      <c r="A52" t="s">
        <v>17</v>
      </c>
      <c r="B52" s="15">
        <v>1</v>
      </c>
      <c r="C52" s="3"/>
      <c r="D52" s="3">
        <v>5000</v>
      </c>
    </row>
    <row r="53" spans="1:16" hidden="1">
      <c r="A53" t="s">
        <v>23</v>
      </c>
      <c r="B53" s="15">
        <v>1</v>
      </c>
      <c r="C53" s="3"/>
      <c r="D53" s="3">
        <v>10000</v>
      </c>
    </row>
    <row r="54" spans="1:16" hidden="1">
      <c r="A54" t="s">
        <v>29</v>
      </c>
      <c r="B54" s="15">
        <v>1</v>
      </c>
      <c r="C54" s="3"/>
      <c r="D54" s="3">
        <v>5000</v>
      </c>
    </row>
    <row r="55" spans="1:16" hidden="1">
      <c r="A55" t="s">
        <v>35</v>
      </c>
      <c r="B55" s="15">
        <v>1</v>
      </c>
      <c r="C55" s="3"/>
      <c r="D55" s="3">
        <v>3000</v>
      </c>
      <c r="L55">
        <f>-9156+45</f>
        <v>-9111</v>
      </c>
    </row>
    <row r="56" spans="1:16" hidden="1">
      <c r="A56" t="s">
        <v>40</v>
      </c>
      <c r="B56" s="15">
        <v>1</v>
      </c>
      <c r="C56" s="3"/>
      <c r="D56" s="3">
        <v>1000</v>
      </c>
      <c r="L56">
        <v>3021</v>
      </c>
    </row>
    <row r="57" spans="1:16" hidden="1">
      <c r="A57" t="s">
        <v>45</v>
      </c>
      <c r="B57" s="15">
        <v>1</v>
      </c>
      <c r="C57" s="3"/>
      <c r="D57" s="3">
        <v>5000</v>
      </c>
      <c r="L57">
        <v>2545</v>
      </c>
    </row>
    <row r="58" spans="1:16" hidden="1">
      <c r="A58" t="s">
        <v>16</v>
      </c>
      <c r="B58" s="15">
        <v>1</v>
      </c>
      <c r="C58" s="3"/>
      <c r="D58" s="3">
        <v>200</v>
      </c>
      <c r="L58">
        <v>3545</v>
      </c>
    </row>
    <row r="59" spans="1:16" hidden="1">
      <c r="A59" t="s">
        <v>22</v>
      </c>
      <c r="B59" s="15">
        <v>1</v>
      </c>
      <c r="C59" s="3"/>
      <c r="D59" s="3">
        <v>500</v>
      </c>
    </row>
    <row r="60" spans="1:16" hidden="1">
      <c r="A60" t="s">
        <v>27</v>
      </c>
      <c r="B60" s="15">
        <v>1</v>
      </c>
      <c r="C60" s="3"/>
      <c r="D60" s="3">
        <v>25</v>
      </c>
    </row>
    <row r="61" spans="1:16" hidden="1">
      <c r="A61" t="s">
        <v>32</v>
      </c>
      <c r="B61" s="15">
        <v>1</v>
      </c>
      <c r="C61" s="3"/>
      <c r="D61" s="3">
        <v>500</v>
      </c>
    </row>
    <row r="62" spans="1:16" hidden="1">
      <c r="A62" t="s">
        <v>43</v>
      </c>
      <c r="B62" s="15">
        <v>1</v>
      </c>
      <c r="C62" s="3"/>
      <c r="D62" s="3">
        <v>200</v>
      </c>
    </row>
    <row r="63" spans="1:16" hidden="1">
      <c r="A63" t="s">
        <v>48</v>
      </c>
      <c r="B63" s="15">
        <v>1</v>
      </c>
      <c r="C63" s="3"/>
      <c r="D63" s="3">
        <v>100</v>
      </c>
    </row>
    <row r="64" spans="1:16" hidden="1">
      <c r="A64" t="s">
        <v>50</v>
      </c>
      <c r="B64" s="15">
        <v>1</v>
      </c>
      <c r="C64" s="3"/>
      <c r="D64" s="3">
        <v>100</v>
      </c>
    </row>
    <row r="65" spans="1:9" hidden="1"/>
    <row r="66" spans="1:9" ht="14.4" hidden="1" thickBot="1">
      <c r="A66" s="26" t="s">
        <v>56</v>
      </c>
      <c r="B66" s="27"/>
      <c r="C66" s="28"/>
      <c r="D66" s="18">
        <f>SUM(D31:D65)</f>
        <v>36274</v>
      </c>
    </row>
    <row r="67" spans="1:9" hidden="1"/>
    <row r="68" spans="1:9" hidden="1"/>
    <row r="69" spans="1:9" hidden="1"/>
    <row r="70" spans="1:9" hidden="1">
      <c r="I70" s="22" t="s">
        <v>58</v>
      </c>
    </row>
    <row r="71" spans="1:9" hidden="1">
      <c r="I71" s="22" t="s">
        <v>58</v>
      </c>
    </row>
    <row r="72" spans="1:9" hidden="1">
      <c r="I72" s="23" t="s">
        <v>59</v>
      </c>
    </row>
    <row r="73" spans="1:9" hidden="1">
      <c r="I73" s="24" t="s">
        <v>59</v>
      </c>
    </row>
    <row r="74" spans="1:9" hidden="1">
      <c r="I74" s="25" t="s">
        <v>60</v>
      </c>
    </row>
    <row r="75" spans="1:9" hidden="1">
      <c r="I75" s="24" t="s">
        <v>60</v>
      </c>
    </row>
    <row r="76" spans="1:9" hidden="1">
      <c r="I76" s="22" t="s">
        <v>61</v>
      </c>
    </row>
    <row r="77" spans="1:9" hidden="1">
      <c r="I77" s="22" t="s">
        <v>61</v>
      </c>
    </row>
    <row r="78" spans="1:9" hidden="1">
      <c r="I78" s="22" t="s">
        <v>62</v>
      </c>
    </row>
    <row r="79" spans="1:9" hidden="1">
      <c r="I79" s="22" t="s">
        <v>62</v>
      </c>
    </row>
    <row r="80" spans="1:9" hidden="1">
      <c r="I80" s="22" t="s">
        <v>63</v>
      </c>
    </row>
    <row r="81" spans="8:9" hidden="1">
      <c r="I81" s="22" t="s">
        <v>63</v>
      </c>
    </row>
    <row r="82" spans="8:9" hidden="1">
      <c r="I82" s="23" t="s">
        <v>64</v>
      </c>
    </row>
    <row r="83" spans="8:9" hidden="1">
      <c r="I83" s="23" t="s">
        <v>64</v>
      </c>
    </row>
    <row r="84" spans="8:9" hidden="1">
      <c r="I84" s="22" t="s">
        <v>65</v>
      </c>
    </row>
    <row r="85" spans="8:9" hidden="1">
      <c r="I85" s="22" t="s">
        <v>65</v>
      </c>
    </row>
    <row r="86" spans="8:9" hidden="1"/>
    <row r="91" spans="8:9">
      <c r="H91">
        <v>-40000</v>
      </c>
    </row>
    <row r="92" spans="8:9">
      <c r="H92">
        <v>19089</v>
      </c>
    </row>
    <row r="93" spans="8:9">
      <c r="H93">
        <v>12090</v>
      </c>
    </row>
    <row r="94" spans="8:9">
      <c r="H94">
        <v>8821</v>
      </c>
    </row>
    <row r="95" spans="8:9">
      <c r="H95" t="s">
        <v>66</v>
      </c>
    </row>
    <row r="102" spans="7:7">
      <c r="G102" s="21" t="s">
        <v>67</v>
      </c>
    </row>
    <row r="103" spans="7:7">
      <c r="G103" s="21"/>
    </row>
    <row r="104" spans="7:7">
      <c r="G104" s="21" t="s">
        <v>68</v>
      </c>
    </row>
    <row r="105" spans="7:7">
      <c r="G105" s="21" t="s">
        <v>69</v>
      </c>
    </row>
    <row r="106" spans="7:7">
      <c r="G106" s="21"/>
    </row>
  </sheetData>
  <mergeCells count="2">
    <mergeCell ref="A26:C26"/>
    <mergeCell ref="A66:C66"/>
  </mergeCells>
  <conditionalFormatting sqref="I70:I8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Yaqoob</dc:creator>
  <cp:lastModifiedBy>Moiz</cp:lastModifiedBy>
  <dcterms:created xsi:type="dcterms:W3CDTF">2026-05-22T21:41:38Z</dcterms:created>
  <dcterms:modified xsi:type="dcterms:W3CDTF">2026-05-22T23:52:23Z</dcterms:modified>
</cp:coreProperties>
</file>