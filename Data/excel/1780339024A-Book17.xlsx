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voice_finance\Data\"/>
    </mc:Choice>
  </mc:AlternateContent>
  <xr:revisionPtr revIDLastSave="0" documentId="13_ncr:1_{7C8CD6FF-4A01-4045-AEE4-1DA9BBABFDF0}" xr6:coauthVersionLast="36" xr6:coauthVersionMax="47" xr10:uidLastSave="{00000000-0000-0000-0000-000000000000}"/>
  <bookViews>
    <workbookView xWindow="0" yWindow="0" windowWidth="28800" windowHeight="11505" xr2:uid="{E5D1795E-CFF9-4DA8-B934-C7FF1845764B}"/>
  </bookViews>
  <sheets>
    <sheet name="Employees" sheetId="1" r:id="rId1"/>
    <sheet name="Cont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" l="1"/>
  <c r="H11" i="2"/>
  <c r="B11" i="2"/>
  <c r="J9" i="2"/>
  <c r="D9" i="2"/>
  <c r="L7" i="2"/>
  <c r="H7" i="2"/>
</calcChain>
</file>

<file path=xl/sharedStrings.xml><?xml version="1.0" encoding="utf-8"?>
<sst xmlns="http://schemas.openxmlformats.org/spreadsheetml/2006/main" count="106" uniqueCount="93">
  <si>
    <t>Syed Ali Arbaz Jaffri</t>
  </si>
  <si>
    <t>Shayan Tariq</t>
  </si>
  <si>
    <t>Junaid Iftekhar</t>
  </si>
  <si>
    <t>Jadoun Ghouri</t>
  </si>
  <si>
    <t>Anum Aziz</t>
  </si>
  <si>
    <t>Khan Sameer Sultan</t>
  </si>
  <si>
    <t>Sheikh Uzair Arif</t>
  </si>
  <si>
    <t>Muhammad Hasan Jamil</t>
  </si>
  <si>
    <t>Syed Muhammad Kumail Ali</t>
  </si>
  <si>
    <t>Saad Mehmood</t>
  </si>
  <si>
    <t>Faisal Khurshid</t>
  </si>
  <si>
    <t>Umais Rohail</t>
  </si>
  <si>
    <t>Ahmed Murad Hakeem</t>
  </si>
  <si>
    <t>Jahanzaib Ahmed</t>
  </si>
  <si>
    <t>Hammad Hassan</t>
  </si>
  <si>
    <t>Muhammad Hassan Faridi</t>
  </si>
  <si>
    <t>M Asad Randhawa</t>
  </si>
  <si>
    <t>Mirza Muhammad Usama</t>
  </si>
  <si>
    <t>Syed Murtaza Ali</t>
  </si>
  <si>
    <t>Maaz Ali Qureshi</t>
  </si>
  <si>
    <t>Jesse Dsouza</t>
  </si>
  <si>
    <t>Muhammad Waliuddin</t>
  </si>
  <si>
    <t>Ahmed Kamal Khan</t>
  </si>
  <si>
    <t>Maxintia Myra Caldeira</t>
  </si>
  <si>
    <t>Hasaan Shaikh</t>
  </si>
  <si>
    <t>Syed Taha Ahmed Ali</t>
  </si>
  <si>
    <t>Muhammad Hussain Raza</t>
  </si>
  <si>
    <t>Muhammad Abbas</t>
  </si>
  <si>
    <t>Fahad Aslam</t>
  </si>
  <si>
    <t>Junaid Durrani</t>
  </si>
  <si>
    <t>Muhammad Yaqoob</t>
  </si>
  <si>
    <t>Jahanzaib Khan</t>
  </si>
  <si>
    <t>Syed Abdul Ahad</t>
  </si>
  <si>
    <t>Muhammad Haris Mujtaba</t>
  </si>
  <si>
    <t>Muhammad Hani Saeed Khan</t>
  </si>
  <si>
    <t>Muhammad Saad Ali (A-SYS)</t>
  </si>
  <si>
    <t>Rachel Johnson (Tech Fort)</t>
  </si>
  <si>
    <t>Hunain Abrar</t>
  </si>
  <si>
    <t>Invoice 1</t>
  </si>
  <si>
    <t>Invoices Structure</t>
  </si>
  <si>
    <t>List Of Employees</t>
  </si>
  <si>
    <t>Invoice 2</t>
  </si>
  <si>
    <t>Forest Tech Inc</t>
  </si>
  <si>
    <t>Maxis Technologies inc</t>
  </si>
  <si>
    <t>Invoice 3</t>
  </si>
  <si>
    <t>Radnor Innovations Inc</t>
  </si>
  <si>
    <t>Invoice 4</t>
  </si>
  <si>
    <t>Fusionfolio Media Inc</t>
  </si>
  <si>
    <t>Invoice 5</t>
  </si>
  <si>
    <t>Dynaverse Inc</t>
  </si>
  <si>
    <t>Website Designing &amp; Development</t>
  </si>
  <si>
    <t>Brand Guideline &amp;  Graphics Designing</t>
  </si>
  <si>
    <t>App Designing &amp; Development</t>
  </si>
  <si>
    <t>Penetration Testing (Web)</t>
  </si>
  <si>
    <t>Dev Operations</t>
  </si>
  <si>
    <t>Penetration Testing (App)</t>
  </si>
  <si>
    <t>. UI/UX Design (Figma)</t>
  </si>
  <si>
    <t>. Brand Identity/Guidline Design</t>
  </si>
  <si>
    <t>. Prototype Development</t>
  </si>
  <si>
    <t>. Web/App Application Penetration Testing</t>
  </si>
  <si>
    <t xml:space="preserve">. Implement CI/CD pipelines </t>
  </si>
  <si>
    <t>. Logo Design</t>
  </si>
  <si>
    <t>. Logo Design (6 Variations)</t>
  </si>
  <si>
    <t>. App UI/UX Design (Figma)</t>
  </si>
  <si>
    <t>. Social Engineering Testing</t>
  </si>
  <si>
    <t>. Containerization</t>
  </si>
  <si>
    <t>. Domain &amp; Hosting</t>
  </si>
  <si>
    <t>. Animated Logo</t>
  </si>
  <si>
    <t>. Backend Development</t>
  </si>
  <si>
    <t>. Red Team Exercises</t>
  </si>
  <si>
    <t>. Monitoring and Logging</t>
  </si>
  <si>
    <t>. SSL</t>
  </si>
  <si>
    <t>. Stationery Design (LetterHead, Cards etc...)</t>
  </si>
  <si>
    <t>. Frontend Development</t>
  </si>
  <si>
    <t>. Compliance and Regulatory Testing (PCI etc..)</t>
  </si>
  <si>
    <t>. Security Automation</t>
  </si>
  <si>
    <t>Chat Integration / User ($24)</t>
  </si>
  <si>
    <t>. Social Media Assets</t>
  </si>
  <si>
    <t>. Quality Assurance and Testing</t>
  </si>
  <si>
    <t xml:space="preserve">. Reporting and Remediation </t>
  </si>
  <si>
    <t>. Load Balancing</t>
  </si>
  <si>
    <t>. Copyrighting (Content)</t>
  </si>
  <si>
    <t>. Packaging Design</t>
  </si>
  <si>
    <t>. Deployment and App Store Submission</t>
  </si>
  <si>
    <t>. Disaster Recovery and High Availability</t>
  </si>
  <si>
    <t>. Social Media Posts</t>
  </si>
  <si>
    <t>. Print and Digital Collateral (Flyers, Brochures etc..)</t>
  </si>
  <si>
    <t>. Security and Compliance</t>
  </si>
  <si>
    <t xml:space="preserve">. Virtual Training and Consultation </t>
  </si>
  <si>
    <t>. Webmaster tool (Basic)</t>
  </si>
  <si>
    <t>Three Time</t>
  </si>
  <si>
    <t>. Analytics (Basic)</t>
  </si>
  <si>
    <t>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</si>
</sst>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1" fillId="0" borderId="0" xfId="0" applyFont="1"/>
    <xf numFmtId="0" fontId="1" fillId="0" borderId="3" xfId="0" applyFont="1" applyBorder="1"/>
    <xf numFmtId="0" fontId="1" fillId="3" borderId="3" xfId="0" applyFont="1" applyFill="1" applyBorder="1"/>
    <xf numFmtId="6" fontId="0" fillId="3" borderId="0" xfId="0" applyNumberFormat="1" applyFill="1"/>
    <xf numFmtId="6" fontId="0" fillId="0" borderId="0" xfId="0" applyNumberFormat="1"/>
    <xf numFmtId="0" fontId="0" fillId="6" borderId="0" xfId="0" applyFill="1"/>
    <xf numFmtId="6" fontId="0" fillId="7" borderId="0" xfId="0" applyNumberFormat="1" applyFill="1"/>
    <xf numFmtId="6" fontId="0" fillId="6" borderId="0" xfId="0" applyNumberFormat="1" applyFill="1"/>
    <xf numFmtId="6" fontId="1" fillId="8" borderId="0" xfId="0" applyNumberFormat="1" applyFont="1" applyFill="1"/>
    <xf numFmtId="0" fontId="1" fillId="8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D6B0-9064-40E7-A813-99B9F2B5F987}">
  <dimension ref="B2:J45"/>
  <sheetViews>
    <sheetView tabSelected="1" workbookViewId="0">
      <selection activeCell="J4" sqref="J4:J9"/>
    </sheetView>
  </sheetViews>
  <sheetFormatPr defaultRowHeight="14.25"/>
  <cols>
    <col min="2" max="2" width="65.625" customWidth="1"/>
    <col min="9" max="9" width="15.5" bestFit="1" customWidth="1"/>
    <col min="10" max="10" width="19.5" bestFit="1" customWidth="1"/>
  </cols>
  <sheetData>
    <row r="2" spans="2:10" ht="15.75" thickBot="1">
      <c r="B2" s="8" t="s">
        <v>40</v>
      </c>
    </row>
    <row r="3" spans="2:10" ht="20.45" customHeight="1" thickBot="1">
      <c r="B3" s="1" t="s">
        <v>0</v>
      </c>
      <c r="I3" t="s">
        <v>39</v>
      </c>
    </row>
    <row r="4" spans="2:10" ht="20.45" customHeight="1" thickBot="1">
      <c r="B4" s="2" t="s">
        <v>1</v>
      </c>
      <c r="I4" t="s">
        <v>38</v>
      </c>
      <c r="J4" t="s">
        <v>43</v>
      </c>
    </row>
    <row r="5" spans="2:10" ht="20.45" customHeight="1" thickBot="1">
      <c r="B5" s="2" t="s">
        <v>2</v>
      </c>
      <c r="I5" t="s">
        <v>41</v>
      </c>
      <c r="J5" t="s">
        <v>42</v>
      </c>
    </row>
    <row r="6" spans="2:10" ht="20.45" customHeight="1" thickBot="1">
      <c r="B6" s="2" t="s">
        <v>3</v>
      </c>
      <c r="I6" t="s">
        <v>44</v>
      </c>
      <c r="J6" t="s">
        <v>45</v>
      </c>
    </row>
    <row r="7" spans="2:10" ht="20.45" customHeight="1" thickBot="1">
      <c r="B7" s="2" t="s">
        <v>4</v>
      </c>
      <c r="I7" t="s">
        <v>46</v>
      </c>
      <c r="J7" t="s">
        <v>47</v>
      </c>
    </row>
    <row r="8" spans="2:10" ht="20.45" customHeight="1" thickBot="1">
      <c r="B8" s="2" t="s">
        <v>5</v>
      </c>
      <c r="I8" t="s">
        <v>48</v>
      </c>
      <c r="J8" t="s">
        <v>49</v>
      </c>
    </row>
    <row r="9" spans="2:10" ht="20.45" customHeight="1" thickBot="1">
      <c r="B9" s="2" t="s">
        <v>6</v>
      </c>
    </row>
    <row r="10" spans="2:10" ht="20.45" customHeight="1" thickBot="1">
      <c r="B10" s="2" t="s">
        <v>7</v>
      </c>
    </row>
    <row r="11" spans="2:10" ht="20.45" customHeight="1" thickBot="1">
      <c r="B11" s="2" t="s">
        <v>8</v>
      </c>
    </row>
    <row r="12" spans="2:10" ht="20.45" customHeight="1" thickBot="1">
      <c r="B12" s="3"/>
    </row>
    <row r="13" spans="2:10" ht="20.45" customHeight="1" thickBot="1">
      <c r="B13" s="2" t="s">
        <v>9</v>
      </c>
    </row>
    <row r="14" spans="2:10" ht="20.45" customHeight="1" thickBot="1">
      <c r="B14" s="2" t="s">
        <v>10</v>
      </c>
    </row>
    <row r="15" spans="2:10" ht="20.45" customHeight="1" thickBot="1">
      <c r="B15" s="2" t="s">
        <v>11</v>
      </c>
    </row>
    <row r="16" spans="2:10" ht="20.45" customHeight="1" thickBot="1">
      <c r="B16" s="4" t="s">
        <v>12</v>
      </c>
    </row>
    <row r="17" spans="2:2" ht="20.45" customHeight="1" thickBot="1">
      <c r="B17" s="2" t="s">
        <v>13</v>
      </c>
    </row>
    <row r="18" spans="2:2" ht="20.45" customHeight="1" thickBot="1">
      <c r="B18" s="2" t="s">
        <v>14</v>
      </c>
    </row>
    <row r="19" spans="2:2" ht="20.45" customHeight="1" thickBot="1">
      <c r="B19" s="2" t="s">
        <v>15</v>
      </c>
    </row>
    <row r="20" spans="2:2" ht="20.45" customHeight="1" thickBot="1">
      <c r="B20" s="2" t="s">
        <v>16</v>
      </c>
    </row>
    <row r="21" spans="2:2" ht="20.45" customHeight="1" thickBot="1">
      <c r="B21" s="2" t="s">
        <v>17</v>
      </c>
    </row>
    <row r="22" spans="2:2" ht="20.45" customHeight="1" thickBot="1">
      <c r="B22" s="2" t="s">
        <v>18</v>
      </c>
    </row>
    <row r="23" spans="2:2" ht="20.45" customHeight="1" thickBot="1">
      <c r="B23" s="2" t="s">
        <v>19</v>
      </c>
    </row>
    <row r="24" spans="2:2" ht="20.45" customHeight="1" thickBot="1">
      <c r="B24" s="3"/>
    </row>
    <row r="25" spans="2:2" ht="20.45" customHeight="1" thickBot="1">
      <c r="B25" s="2" t="s">
        <v>20</v>
      </c>
    </row>
    <row r="26" spans="2:2" ht="20.45" customHeight="1" thickBot="1">
      <c r="B26" s="3"/>
    </row>
    <row r="27" spans="2:2" ht="20.45" customHeight="1" thickBot="1">
      <c r="B27" s="2" t="s">
        <v>21</v>
      </c>
    </row>
    <row r="28" spans="2:2" ht="20.45" customHeight="1" thickBot="1">
      <c r="B28" s="2" t="s">
        <v>22</v>
      </c>
    </row>
    <row r="29" spans="2:2" ht="20.45" customHeight="1" thickBot="1">
      <c r="B29" s="2" t="s">
        <v>23</v>
      </c>
    </row>
    <row r="30" spans="2:2" ht="20.45" customHeight="1" thickBot="1">
      <c r="B30" s="2" t="s">
        <v>24</v>
      </c>
    </row>
    <row r="31" spans="2:2" ht="20.45" customHeight="1" thickBot="1">
      <c r="B31" s="2" t="s">
        <v>25</v>
      </c>
    </row>
    <row r="32" spans="2:2" ht="20.45" customHeight="1" thickBot="1">
      <c r="B32" s="3"/>
    </row>
    <row r="33" spans="2:2" ht="20.45" customHeight="1" thickBot="1">
      <c r="B33" s="5" t="s">
        <v>26</v>
      </c>
    </row>
    <row r="34" spans="2:2" ht="20.45" customHeight="1" thickBot="1">
      <c r="B34" s="5" t="s">
        <v>27</v>
      </c>
    </row>
    <row r="35" spans="2:2" ht="20.45" customHeight="1" thickBot="1">
      <c r="B35" s="5" t="s">
        <v>28</v>
      </c>
    </row>
    <row r="36" spans="2:2" ht="20.45" customHeight="1" thickBot="1">
      <c r="B36" s="5" t="s">
        <v>29</v>
      </c>
    </row>
    <row r="37" spans="2:2" ht="20.45" customHeight="1" thickBot="1">
      <c r="B37" s="5" t="s">
        <v>30</v>
      </c>
    </row>
    <row r="38" spans="2:2" ht="20.45" customHeight="1" thickBot="1">
      <c r="B38" s="2" t="s">
        <v>31</v>
      </c>
    </row>
    <row r="39" spans="2:2" ht="20.45" customHeight="1" thickBot="1">
      <c r="B39" s="6" t="s">
        <v>32</v>
      </c>
    </row>
    <row r="40" spans="2:2" ht="20.45" customHeight="1" thickBot="1">
      <c r="B40" s="6" t="s">
        <v>33</v>
      </c>
    </row>
    <row r="41" spans="2:2" ht="20.45" customHeight="1" thickBot="1">
      <c r="B41" s="6" t="s">
        <v>34</v>
      </c>
    </row>
    <row r="42" spans="2:2" ht="20.45" customHeight="1" thickBot="1">
      <c r="B42" s="3"/>
    </row>
    <row r="43" spans="2:2" ht="20.45" customHeight="1" thickBot="1">
      <c r="B43" s="7" t="s">
        <v>35</v>
      </c>
    </row>
    <row r="44" spans="2:2" ht="20.45" customHeight="1" thickBot="1">
      <c r="B44" s="7" t="s">
        <v>36</v>
      </c>
    </row>
    <row r="45" spans="2:2" ht="20.45" customHeight="1" thickBot="1">
      <c r="B45" s="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EE72-98FC-4C99-91CD-8332BDE2A1FA}">
  <dimension ref="A1:L16"/>
  <sheetViews>
    <sheetView workbookViewId="0">
      <selection activeCell="E20" sqref="E20"/>
    </sheetView>
  </sheetViews>
  <sheetFormatPr defaultRowHeight="14.25"/>
  <cols>
    <col min="1" max="1" width="29.75" bestFit="1" customWidth="1"/>
    <col min="2" max="2" width="7.25" hidden="1" customWidth="1"/>
    <col min="3" max="3" width="42.75" bestFit="1" customWidth="1"/>
    <col min="4" max="4" width="7.25" hidden="1" customWidth="1"/>
    <col min="5" max="5" width="32.875" bestFit="1" customWidth="1"/>
    <col min="6" max="6" width="8.25" hidden="1" customWidth="1"/>
    <col min="7" max="7" width="38.625" bestFit="1" customWidth="1"/>
    <col min="8" max="8" width="8.25" hidden="1" customWidth="1"/>
    <col min="9" max="9" width="32.875" bestFit="1" customWidth="1"/>
    <col min="10" max="10" width="8.125" hidden="1" customWidth="1"/>
    <col min="11" max="11" width="38.625" bestFit="1" customWidth="1"/>
    <col min="12" max="12" width="8.25" hidden="1" customWidth="1"/>
  </cols>
  <sheetData>
    <row r="1" spans="1:12" ht="15">
      <c r="A1" s="9" t="s">
        <v>50</v>
      </c>
      <c r="B1" s="10"/>
      <c r="C1" s="9" t="s">
        <v>51</v>
      </c>
      <c r="D1" s="9"/>
      <c r="E1" s="9" t="s">
        <v>52</v>
      </c>
      <c r="F1" s="10"/>
      <c r="G1" s="9" t="s">
        <v>53</v>
      </c>
      <c r="H1" s="9"/>
      <c r="I1" s="9" t="s">
        <v>54</v>
      </c>
      <c r="J1" s="9"/>
      <c r="K1" s="9" t="s">
        <v>55</v>
      </c>
      <c r="L1" s="9"/>
    </row>
    <row r="2" spans="1:12">
      <c r="A2" t="s">
        <v>56</v>
      </c>
      <c r="B2" s="11">
        <v>500</v>
      </c>
      <c r="C2" t="s">
        <v>57</v>
      </c>
      <c r="D2" s="12">
        <v>500</v>
      </c>
      <c r="E2" s="13" t="s">
        <v>58</v>
      </c>
      <c r="F2" s="14">
        <v>1000</v>
      </c>
      <c r="G2" t="s">
        <v>59</v>
      </c>
      <c r="H2" s="12">
        <v>4000</v>
      </c>
      <c r="I2" t="s">
        <v>60</v>
      </c>
      <c r="J2" s="11">
        <v>5000</v>
      </c>
      <c r="K2" t="s">
        <v>59</v>
      </c>
      <c r="L2" s="12">
        <v>6000</v>
      </c>
    </row>
    <row r="3" spans="1:12">
      <c r="A3" t="s">
        <v>61</v>
      </c>
      <c r="B3" s="11">
        <v>200</v>
      </c>
      <c r="C3" t="s">
        <v>62</v>
      </c>
      <c r="D3" s="12">
        <v>200</v>
      </c>
      <c r="E3" s="13" t="s">
        <v>63</v>
      </c>
      <c r="F3" s="14">
        <v>5000</v>
      </c>
      <c r="G3" t="s">
        <v>64</v>
      </c>
      <c r="H3" s="12">
        <v>2000</v>
      </c>
      <c r="I3" t="s">
        <v>65</v>
      </c>
      <c r="J3" s="12">
        <v>10000</v>
      </c>
      <c r="K3" t="s">
        <v>64</v>
      </c>
      <c r="L3" s="12">
        <v>2000</v>
      </c>
    </row>
    <row r="4" spans="1:12">
      <c r="A4" t="s">
        <v>66</v>
      </c>
      <c r="B4" s="11">
        <v>500</v>
      </c>
      <c r="C4" t="s">
        <v>67</v>
      </c>
      <c r="D4" s="12">
        <v>200</v>
      </c>
      <c r="E4" t="s">
        <v>68</v>
      </c>
      <c r="F4" s="14">
        <v>10000</v>
      </c>
      <c r="G4" t="s">
        <v>69</v>
      </c>
      <c r="H4" s="12">
        <v>5000</v>
      </c>
      <c r="I4" t="s">
        <v>70</v>
      </c>
      <c r="J4" s="11">
        <v>4500</v>
      </c>
      <c r="K4" t="s">
        <v>69</v>
      </c>
      <c r="L4" s="12">
        <v>6500</v>
      </c>
    </row>
    <row r="5" spans="1:12">
      <c r="A5" t="s">
        <v>71</v>
      </c>
      <c r="B5" s="11">
        <v>25</v>
      </c>
      <c r="C5" t="s">
        <v>72</v>
      </c>
      <c r="D5" s="12">
        <v>300</v>
      </c>
      <c r="E5" t="s">
        <v>73</v>
      </c>
      <c r="F5" s="15">
        <v>5000</v>
      </c>
      <c r="G5" t="s">
        <v>74</v>
      </c>
      <c r="H5" s="12">
        <v>5000</v>
      </c>
      <c r="I5" t="s">
        <v>75</v>
      </c>
      <c r="J5" s="12">
        <v>10000</v>
      </c>
      <c r="K5" t="s">
        <v>74</v>
      </c>
      <c r="L5" s="12">
        <v>5000</v>
      </c>
    </row>
    <row r="6" spans="1:12">
      <c r="A6" t="s">
        <v>76</v>
      </c>
      <c r="B6" s="11">
        <v>24</v>
      </c>
      <c r="C6" t="s">
        <v>77</v>
      </c>
      <c r="D6" s="12">
        <v>200</v>
      </c>
      <c r="E6" t="s">
        <v>78</v>
      </c>
      <c r="F6" s="15">
        <v>3000</v>
      </c>
      <c r="G6" t="s">
        <v>79</v>
      </c>
      <c r="H6" s="12">
        <v>2000</v>
      </c>
      <c r="I6" t="s">
        <v>80</v>
      </c>
      <c r="J6" s="11">
        <v>5000</v>
      </c>
      <c r="K6" t="s">
        <v>79</v>
      </c>
      <c r="L6" s="12">
        <v>2000</v>
      </c>
    </row>
    <row r="7" spans="1:12" ht="15">
      <c r="A7" t="s">
        <v>81</v>
      </c>
      <c r="B7" s="11">
        <v>500</v>
      </c>
      <c r="C7" t="s">
        <v>82</v>
      </c>
      <c r="D7" s="12">
        <v>500</v>
      </c>
      <c r="E7" s="13" t="s">
        <v>83</v>
      </c>
      <c r="F7" s="14">
        <v>1000</v>
      </c>
      <c r="H7" s="16">
        <f>SUM(H2:H6)</f>
        <v>18000</v>
      </c>
      <c r="I7" t="s">
        <v>84</v>
      </c>
      <c r="J7" s="12">
        <v>5000</v>
      </c>
      <c r="L7" s="16">
        <f>SUM(L2:L6)</f>
        <v>21500</v>
      </c>
    </row>
    <row r="8" spans="1:12">
      <c r="A8" t="s">
        <v>85</v>
      </c>
      <c r="B8" s="11">
        <v>200</v>
      </c>
      <c r="C8" t="s">
        <v>86</v>
      </c>
      <c r="D8" s="12">
        <v>500</v>
      </c>
      <c r="E8" t="s">
        <v>87</v>
      </c>
      <c r="F8" s="15">
        <v>5000</v>
      </c>
      <c r="I8" t="s">
        <v>88</v>
      </c>
      <c r="J8" s="12">
        <v>2500</v>
      </c>
      <c r="L8" s="12"/>
    </row>
    <row r="9" spans="1:12" ht="15">
      <c r="A9" t="s">
        <v>89</v>
      </c>
      <c r="B9" s="11">
        <v>100</v>
      </c>
      <c r="D9" s="16">
        <f>SUM(D2:D8)</f>
        <v>2400</v>
      </c>
      <c r="E9" t="s">
        <v>61</v>
      </c>
      <c r="F9" s="11">
        <v>200</v>
      </c>
      <c r="J9" s="17">
        <f>SUM(J2:J8)</f>
        <v>42000</v>
      </c>
      <c r="K9" t="s">
        <v>90</v>
      </c>
    </row>
    <row r="10" spans="1:12">
      <c r="A10" t="s">
        <v>91</v>
      </c>
      <c r="B10" s="11">
        <v>100</v>
      </c>
      <c r="D10" s="12"/>
      <c r="E10" t="s">
        <v>66</v>
      </c>
      <c r="F10" s="15">
        <v>500</v>
      </c>
    </row>
    <row r="11" spans="1:12" ht="15">
      <c r="B11" s="16">
        <f>SUM(B2:B10)</f>
        <v>2149</v>
      </c>
      <c r="E11" t="s">
        <v>71</v>
      </c>
      <c r="F11" s="11">
        <v>25</v>
      </c>
      <c r="H11">
        <f>15000+3812</f>
        <v>18812</v>
      </c>
    </row>
    <row r="12" spans="1:12">
      <c r="A12" t="s">
        <v>92</v>
      </c>
      <c r="B12" s="18"/>
      <c r="C12" t="s">
        <v>92</v>
      </c>
      <c r="E12" t="s">
        <v>81</v>
      </c>
      <c r="F12" s="14">
        <v>500</v>
      </c>
    </row>
    <row r="13" spans="1:12">
      <c r="B13" s="18"/>
      <c r="E13" t="s">
        <v>85</v>
      </c>
      <c r="F13" s="11">
        <v>200</v>
      </c>
    </row>
    <row r="14" spans="1:12">
      <c r="B14" s="18"/>
      <c r="E14" t="s">
        <v>89</v>
      </c>
      <c r="F14" s="11">
        <v>100</v>
      </c>
    </row>
    <row r="15" spans="1:12">
      <c r="B15" s="18"/>
      <c r="E15" t="s">
        <v>91</v>
      </c>
      <c r="F15" s="11">
        <v>100</v>
      </c>
    </row>
    <row r="16" spans="1:12" ht="15">
      <c r="B16" s="18"/>
      <c r="F16" s="16">
        <f>SUM(F2:F15)</f>
        <v>31625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Yaqoob</dc:creator>
  <cp:lastModifiedBy>Hafeez ur Rehman</cp:lastModifiedBy>
  <dcterms:created xsi:type="dcterms:W3CDTF">2026-06-01T18:23:59Z</dcterms:created>
  <dcterms:modified xsi:type="dcterms:W3CDTF">2026-06-02T17:14:49Z</dcterms:modified>
</cp:coreProperties>
</file>